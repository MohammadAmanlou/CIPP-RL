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da5487e3e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42ef451aaeec42f7"/>
    <x:sheet xmlns:r="http://schemas.openxmlformats.org/officeDocument/2006/relationships" name="Summary" sheetId="2" r:id="Rc252f8f68c8f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0e61763f04d40" /><Relationship Type="http://schemas.openxmlformats.org/officeDocument/2006/relationships/theme" Target="/xl/theme/theme1.xml" Id="R3e386391f2f749de" /><Relationship Type="http://schemas.openxmlformats.org/officeDocument/2006/relationships/sharedStrings" Target="/xl/sharedStrings.xml" Id="R6fe22669091547e4" /><Relationship Type="http://schemas.openxmlformats.org/officeDocument/2006/relationships/worksheet" Target="/xl/worksheets/sheet1.xml" Id="R42ef451aaeec42f7" /><Relationship Type="http://schemas.openxmlformats.org/officeDocument/2006/relationships/worksheet" Target="/xl/worksheets/sheet2.xml" Id="Rc252f8f68c8f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.25" hidden="0" customWidth="1"/>
    <x:col min="4" max="4" width="12.630000114440918" hidden="0" customWidth="1"/>
    <x:col min="5" max="5" width="10.630000114440918" hidden="0" customWidth="1"/>
    <x:col min="6" max="6" width="20.25" hidden="0" customWidth="1"/>
    <x:col min="7" max="7" width="21.3799991607666" hidden="0" customWidth="1"/>
    <x:col min="8" max="8" width="10.75" hidden="0" customWidth="1"/>
    <x:col min="9" max="9" width="10.130000114440918" hidden="0" customWidth="1"/>
    <x:col min="10" max="10" width="9.5" hidden="0" customWidth="1"/>
    <x:col min="11" max="11" width="17.1299991607666" hidden="0" customWidth="1"/>
    <x:col min="12" max="12" width="16.3799991607666" hidden="0" customWidth="1"/>
    <x:col min="13" max="13" width="10.630000114440918" hidden="0" customWidth="1"/>
    <x:col min="14" max="14" width="12.25" hidden="0" customWidth="1"/>
    <x:col min="15" max="15" width="18.5" hidden="0" customWidth="1"/>
    <x:col min="16" max="16" width="34" hidden="0" customWidth="1"/>
    <x:col min="17" max="17" width="15.630000114440918" hidden="0" customWidth="1"/>
    <x:col min="18" max="18" width="16" hidden="0" customWidth="1"/>
  </x:cols>
  <x:sheetData>
    <x:row r="1">
      <x:c r="A1" s="5" t="str">
        <x:v>CIPP — Smallest Real-Data Benchmark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2" t="str">
        <x:v>Paste the generated comparison_table.csv values into the white cells. The supplied-code mode has 15 real visit actions for Cities=16; paper-14 mode has 14.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20" t="str">
        <x:v>Instance</x:v>
      </x:c>
      <x:c r="B4" s="20" t="str">
        <x:v>Method</x:v>
      </x:c>
      <x:c r="C4" s="20" t="str">
        <x:v>BFS</x:v>
      </x:c>
      <x:c r="D4" s="20" t="str">
        <x:v>Mean Objective</x:v>
      </x:c>
      <x:c r="E4" s="20" t="str">
        <x:v>Std Objective</x:v>
      </x:c>
      <x:c r="F4" s="20" t="str">
        <x:v>Best Gap to Reference (%)</x:v>
      </x:c>
      <x:c r="G4" s="20" t="str">
        <x:v>Mean Gap to Reference (%)</x:v>
      </x:c>
      <x:c r="H4" s="20" t="str">
        <x:v>CPU Mean (s)</x:v>
      </x:c>
      <x:c r="I4" s="20" t="str">
        <x:v>CPU Total (s)</x:v>
      </x:c>
      <x:c r="J4" s="20" t="str">
        <x:v>Runs/Seeds</x:v>
      </x:c>
      <x:c r="K4" s="20" t="str">
        <x:v>Mean Search Rollouts</x:v>
      </x:c>
      <x:c r="L4" s="20" t="str">
        <x:v>Total Search Rollouts</x:v>
      </x:c>
      <x:c r="M4" s="20" t="str">
        <x:v>Feasible Rate</x:v>
      </x:c>
      <x:c r="N4" s="20" t="str">
        <x:v>Idle Days (Best)</x:v>
      </x:c>
      <x:c r="O4" s="20" t="str">
        <x:v>Unique Locations (Best)</x:v>
      </x:c>
      <x:c r="P4" s="20" t="str">
        <x:v>Reference Type</x:v>
      </x:c>
      <x:c r="Q4" s="20" t="str">
        <x:v>Gurobi MIP Gap (%)</x:v>
      </x:c>
      <x:c r="R4" s="20" t="str">
        <x:v>Status</x:v>
      </x:c>
    </x:row>
    <x:row r="5">
      <x:c r="A5" s="28" t="str">
        <x:v>D_15S_30P_CODE</x:v>
      </x:c>
      <x:c r="B5" s="28" t="str">
        <x:v>random_feasible_30_runs</x:v>
      </x:c>
      <x:c r="C5" s="29"/>
      <x:c r="D5" s="29"/>
      <x:c r="E5" s="29"/>
      <x:c r="F5" s="29" t="str">
        <x:f>IFERROR(100*(SUMIFS($C$5:$C$16,$A$5:$A$16,A5,$B$5:$B$16,"gurobi")-C5)/ABS(SUMIFS($C$5:$C$16,$A$5:$A$16,A5,$B$5:$B$16,"gurobi")),"")</x:f>
      </x:c>
      <x:c r="G5" s="29" t="str">
        <x:f>IFERROR(100*(SUMIFS($C$5:$C$16,$A$5:$A$16,A5,$B$5:$B$16,"gurobi")-D5)/ABS(SUMIFS($C$5:$C$16,$A$5:$A$16,A5,$B$5:$B$16,"gurobi")),"")</x:f>
      </x:c>
      <x:c r="H5" s="29"/>
      <x:c r="I5" s="29"/>
      <x:c r="J5" s="28" t="n">
        <x:v>30</x:v>
      </x:c>
      <x:c r="K5" s="28" t="n">
        <x:v>1</x:v>
      </x:c>
      <x:c r="L5" s="28"/>
      <x:c r="M5" s="29"/>
      <x:c r="N5" s="28"/>
      <x:c r="O5" s="28"/>
      <x:c r="P5" s="28"/>
      <x:c r="Q5" s="28"/>
      <x:c r="R5" s="28"/>
    </x:row>
    <x:row r="6">
      <x:c r="A6" s="28" t="str">
        <x:v>D_15S_30P_CODE</x:v>
      </x:c>
      <x:c r="B6" s="28" t="str">
        <x:v>random_best_of_30</x:v>
      </x:c>
      <x:c r="C6" s="29"/>
      <x:c r="D6" s="29"/>
      <x:c r="E6" s="29"/>
      <x:c r="F6" s="29" t="str">
        <x:f>IFERROR(100*(SUMIFS($C$5:$C$16,$A$5:$A$16,A6,$B$5:$B$16,"gurobi")-C6)/ABS(SUMIFS($C$5:$C$16,$A$5:$A$16,A6,$B$5:$B$16,"gurobi")),"")</x:f>
      </x:c>
      <x:c r="G6" s="29" t="str">
        <x:f>IFERROR(100*(SUMIFS($C$5:$C$16,$A$5:$A$16,A6,$B$5:$B$16,"gurobi")-D6)/ABS(SUMIFS($C$5:$C$16,$A$5:$A$16,A6,$B$5:$B$16,"gurobi")),"")</x:f>
      </x:c>
      <x:c r="H6" s="29"/>
      <x:c r="I6" s="29"/>
      <x:c r="J6" s="28" t="n">
        <x:v>1</x:v>
      </x:c>
      <x:c r="K6" s="28" t="n">
        <x:v>30</x:v>
      </x:c>
      <x:c r="L6" s="28"/>
      <x:c r="M6" s="29"/>
      <x:c r="N6" s="28"/>
      <x:c r="O6" s="28"/>
      <x:c r="P6" s="28"/>
      <x:c r="Q6" s="28"/>
      <x:c r="R6" s="28"/>
    </x:row>
    <x:row r="7">
      <x:c r="A7" s="28" t="str">
        <x:v>D_15S_30P_CODE</x:v>
      </x:c>
      <x:c r="B7" s="28" t="str">
        <x:v>greedy_exact_increment</x:v>
      </x:c>
      <x:c r="C7" s="29"/>
      <x:c r="D7" s="29"/>
      <x:c r="E7" s="29"/>
      <x:c r="F7" s="29" t="str">
        <x:f>IFERROR(100*(SUMIFS($C$5:$C$16,$A$5:$A$16,A7,$B$5:$B$16,"gurobi")-C7)/ABS(SUMIFS($C$5:$C$16,$A$5:$A$16,A7,$B$5:$B$16,"gurobi")),"")</x:f>
      </x:c>
      <x:c r="G7" s="29" t="str">
        <x:f>IFERROR(100*(SUMIFS($C$5:$C$16,$A$5:$A$16,A7,$B$5:$B$16,"gurobi")-D7)/ABS(SUMIFS($C$5:$C$16,$A$5:$A$16,A7,$B$5:$B$16,"gurobi")),"")</x:f>
      </x:c>
      <x:c r="H7" s="29"/>
      <x:c r="I7" s="29"/>
      <x:c r="J7" s="28" t="n">
        <x:v>1</x:v>
      </x:c>
      <x:c r="K7" s="28" t="n">
        <x:v>1</x:v>
      </x:c>
      <x:c r="L7" s="28"/>
      <x:c r="M7" s="29"/>
      <x:c r="N7" s="28"/>
      <x:c r="O7" s="28"/>
      <x:c r="P7" s="28"/>
      <x:c r="Q7" s="28"/>
      <x:c r="R7" s="28"/>
    </x:row>
    <x:row r="8">
      <x:c r="A8" s="28" t="str">
        <x:v>D_15S_30P_CODE</x:v>
      </x:c>
      <x:c r="B8" s="28" t="str">
        <x:v>dqn_greedy</x:v>
      </x:c>
      <x:c r="C8" s="29"/>
      <x:c r="D8" s="29"/>
      <x:c r="E8" s="29"/>
      <x:c r="F8" s="29" t="str">
        <x:f>IFERROR(100*(SUMIFS($C$5:$C$16,$A$5:$A$16,A8,$B$5:$B$16,"gurobi")-C8)/ABS(SUMIFS($C$5:$C$16,$A$5:$A$16,A8,$B$5:$B$16,"gurobi")),"")</x:f>
      </x:c>
      <x:c r="G8" s="29" t="str">
        <x:f>IFERROR(100*(SUMIFS($C$5:$C$16,$A$5:$A$16,A8,$B$5:$B$16,"gurobi")-D8)/ABS(SUMIFS($C$5:$C$16,$A$5:$A$16,A8,$B$5:$B$16,"gurobi")),"")</x:f>
      </x:c>
      <x:c r="H8" s="29"/>
      <x:c r="I8" s="29"/>
      <x:c r="J8" s="28" t="n">
        <x:v>5</x:v>
      </x:c>
      <x:c r="K8" s="28" t="n">
        <x:v>1</x:v>
      </x:c>
      <x:c r="L8" s="28"/>
      <x:c r="M8" s="29"/>
      <x:c r="N8" s="28"/>
      <x:c r="O8" s="28"/>
      <x:c r="P8" s="28"/>
      <x:c r="Q8" s="28"/>
      <x:c r="R8" s="28"/>
    </x:row>
    <x:row r="9">
      <x:c r="A9" s="28" t="str">
        <x:v>D_15S_30P_CODE</x:v>
      </x:c>
      <x:c r="B9" s="28" t="str">
        <x:v>dqn_backtracking_30</x:v>
      </x:c>
      <x:c r="C9" s="29"/>
      <x:c r="D9" s="29"/>
      <x:c r="E9" s="29"/>
      <x:c r="F9" s="29" t="str">
        <x:f>IFERROR(100*(SUMIFS($C$5:$C$16,$A$5:$A$16,A9,$B$5:$B$16,"gurobi")-C9)/ABS(SUMIFS($C$5:$C$16,$A$5:$A$16,A9,$B$5:$B$16,"gurobi")),"")</x:f>
      </x:c>
      <x:c r="G9" s="29" t="str">
        <x:f>IFERROR(100*(SUMIFS($C$5:$C$16,$A$5:$A$16,A9,$B$5:$B$16,"gurobi")-D9)/ABS(SUMIFS($C$5:$C$16,$A$5:$A$16,A9,$B$5:$B$16,"gurobi")),"")</x:f>
      </x:c>
      <x:c r="H9" s="29"/>
      <x:c r="I9" s="29"/>
      <x:c r="J9" s="28" t="n">
        <x:v>5</x:v>
      </x:c>
      <x:c r="K9" s="28" t="n">
        <x:v>30</x:v>
      </x:c>
      <x:c r="L9" s="28"/>
      <x:c r="M9" s="29"/>
      <x:c r="N9" s="28"/>
      <x:c r="O9" s="28"/>
      <x:c r="P9" s="28"/>
      <x:c r="Q9" s="28"/>
      <x:c r="R9" s="28"/>
    </x:row>
    <x:row r="10">
      <x:c r="A10" s="28" t="str">
        <x:v>D_15S_30P_CODE</x:v>
      </x:c>
      <x:c r="B10" s="28" t="str">
        <x:v>gurobi</x:v>
      </x:c>
      <x:c r="C10" s="29"/>
      <x:c r="D10" s="29"/>
      <x:c r="E10" s="29"/>
      <x:c r="F10" s="29" t="str">
        <x:f>IFERROR(100*(SUMIFS($C$5:$C$16,$A$5:$A$16,A10,$B$5:$B$16,"gurobi")-C10)/ABS(SUMIFS($C$5:$C$16,$A$5:$A$16,A10,$B$5:$B$16,"gurobi")),"")</x:f>
      </x:c>
      <x:c r="G10" s="29" t="str">
        <x:f>IFERROR(100*(SUMIFS($C$5:$C$16,$A$5:$A$16,A10,$B$5:$B$16,"gurobi")-D10)/ABS(SUMIFS($C$5:$C$16,$A$5:$A$16,A10,$B$5:$B$16,"gurobi")),"")</x:f>
      </x:c>
      <x:c r="H10" s="29"/>
      <x:c r="I10" s="29"/>
      <x:c r="J10" s="28" t="n">
        <x:v>1</x:v>
      </x:c>
      <x:c r="K10" s="28" t="n">
        <x:v>1</x:v>
      </x:c>
      <x:c r="L10" s="28"/>
      <x:c r="M10" s="29"/>
      <x:c r="N10" s="28"/>
      <x:c r="O10" s="28"/>
      <x:c r="P10" s="28"/>
      <x:c r="Q10" s="28"/>
      <x:c r="R10" s="28"/>
    </x:row>
    <x:row r="11">
      <x:c r="A11" s="28" t="str">
        <x:v>R_15S_30P_CODE</x:v>
      </x:c>
      <x:c r="B11" s="28" t="str">
        <x:v>random_feasible_30_runs</x:v>
      </x:c>
      <x:c r="C11" s="29"/>
      <x:c r="D11" s="29"/>
      <x:c r="E11" s="29"/>
      <x:c r="F11" s="29" t="str">
        <x:f>IFERROR(100*(SUMIFS($C$5:$C$16,$A$5:$A$16,A11,$B$5:$B$16,"gurobi")-C11)/ABS(SUMIFS($C$5:$C$16,$A$5:$A$16,A11,$B$5:$B$16,"gurobi")),"")</x:f>
      </x:c>
      <x:c r="G11" s="29" t="str">
        <x:f>IFERROR(100*(SUMIFS($C$5:$C$16,$A$5:$A$16,A11,$B$5:$B$16,"gurobi")-D11)/ABS(SUMIFS($C$5:$C$16,$A$5:$A$16,A11,$B$5:$B$16,"gurobi")),"")</x:f>
      </x:c>
      <x:c r="H11" s="29"/>
      <x:c r="I11" s="29"/>
      <x:c r="J11" s="28" t="n">
        <x:v>30</x:v>
      </x:c>
      <x:c r="K11" s="28" t="n">
        <x:v>1</x:v>
      </x:c>
      <x:c r="L11" s="28"/>
      <x:c r="M11" s="29"/>
      <x:c r="N11" s="28"/>
      <x:c r="O11" s="28"/>
      <x:c r="P11" s="28"/>
      <x:c r="Q11" s="28"/>
      <x:c r="R11" s="28"/>
    </x:row>
    <x:row r="12">
      <x:c r="A12" s="28" t="str">
        <x:v>R_15S_30P_CODE</x:v>
      </x:c>
      <x:c r="B12" s="28" t="str">
        <x:v>random_best_of_30</x:v>
      </x:c>
      <x:c r="C12" s="29"/>
      <x:c r="D12" s="29"/>
      <x:c r="E12" s="29"/>
      <x:c r="F12" s="29" t="str">
        <x:f>IFERROR(100*(SUMIFS($C$5:$C$16,$A$5:$A$16,A12,$B$5:$B$16,"gurobi")-C12)/ABS(SUMIFS($C$5:$C$16,$A$5:$A$16,A12,$B$5:$B$16,"gurobi")),"")</x:f>
      </x:c>
      <x:c r="G12" s="29" t="str">
        <x:f>IFERROR(100*(SUMIFS($C$5:$C$16,$A$5:$A$16,A12,$B$5:$B$16,"gurobi")-D12)/ABS(SUMIFS($C$5:$C$16,$A$5:$A$16,A12,$B$5:$B$16,"gurobi")),"")</x:f>
      </x:c>
      <x:c r="H12" s="29"/>
      <x:c r="I12" s="29"/>
      <x:c r="J12" s="28" t="n">
        <x:v>1</x:v>
      </x:c>
      <x:c r="K12" s="28" t="n">
        <x:v>30</x:v>
      </x:c>
      <x:c r="L12" s="28"/>
      <x:c r="M12" s="29"/>
      <x:c r="N12" s="28"/>
      <x:c r="O12" s="28"/>
      <x:c r="P12" s="28"/>
      <x:c r="Q12" s="28"/>
      <x:c r="R12" s="28"/>
    </x:row>
    <x:row r="13">
      <x:c r="A13" s="28" t="str">
        <x:v>R_15S_30P_CODE</x:v>
      </x:c>
      <x:c r="B13" s="28" t="str">
        <x:v>greedy_exact_increment</x:v>
      </x:c>
      <x:c r="C13" s="29"/>
      <x:c r="D13" s="29"/>
      <x:c r="E13" s="29"/>
      <x:c r="F13" s="29" t="str">
        <x:f>IFERROR(100*(SUMIFS($C$5:$C$16,$A$5:$A$16,A13,$B$5:$B$16,"gurobi")-C13)/ABS(SUMIFS($C$5:$C$16,$A$5:$A$16,A13,$B$5:$B$16,"gurobi")),"")</x:f>
      </x:c>
      <x:c r="G13" s="29" t="str">
        <x:f>IFERROR(100*(SUMIFS($C$5:$C$16,$A$5:$A$16,A13,$B$5:$B$16,"gurobi")-D13)/ABS(SUMIFS($C$5:$C$16,$A$5:$A$16,A13,$B$5:$B$16,"gurobi")),"")</x:f>
      </x:c>
      <x:c r="H13" s="29"/>
      <x:c r="I13" s="29"/>
      <x:c r="J13" s="28" t="n">
        <x:v>1</x:v>
      </x:c>
      <x:c r="K13" s="28" t="n">
        <x:v>1</x:v>
      </x:c>
      <x:c r="L13" s="28"/>
      <x:c r="M13" s="29"/>
      <x:c r="N13" s="28"/>
      <x:c r="O13" s="28"/>
      <x:c r="P13" s="28"/>
      <x:c r="Q13" s="28"/>
      <x:c r="R13" s="28"/>
    </x:row>
    <x:row r="14">
      <x:c r="A14" s="28" t="str">
        <x:v>R_15S_30P_CODE</x:v>
      </x:c>
      <x:c r="B14" s="28" t="str">
        <x:v>dqn_greedy</x:v>
      </x:c>
      <x:c r="C14" s="29"/>
      <x:c r="D14" s="29"/>
      <x:c r="E14" s="29"/>
      <x:c r="F14" s="29" t="str">
        <x:f>IFERROR(100*(SUMIFS($C$5:$C$16,$A$5:$A$16,A14,$B$5:$B$16,"gurobi")-C14)/ABS(SUMIFS($C$5:$C$16,$A$5:$A$16,A14,$B$5:$B$16,"gurobi")),"")</x:f>
      </x:c>
      <x:c r="G14" s="29" t="str">
        <x:f>IFERROR(100*(SUMIFS($C$5:$C$16,$A$5:$A$16,A14,$B$5:$B$16,"gurobi")-D14)/ABS(SUMIFS($C$5:$C$16,$A$5:$A$16,A14,$B$5:$B$16,"gurobi")),"")</x:f>
      </x:c>
      <x:c r="H14" s="29"/>
      <x:c r="I14" s="29"/>
      <x:c r="J14" s="28" t="n">
        <x:v>5</x:v>
      </x:c>
      <x:c r="K14" s="28" t="n">
        <x:v>1</x:v>
      </x:c>
      <x:c r="L14" s="28"/>
      <x:c r="M14" s="29"/>
      <x:c r="N14" s="28"/>
      <x:c r="O14" s="28"/>
      <x:c r="P14" s="28"/>
      <x:c r="Q14" s="28"/>
      <x:c r="R14" s="28"/>
    </x:row>
    <x:row r="15">
      <x:c r="A15" s="28" t="str">
        <x:v>R_15S_30P_CODE</x:v>
      </x:c>
      <x:c r="B15" s="28" t="str">
        <x:v>dqn_backtracking_30</x:v>
      </x:c>
      <x:c r="C15" s="29"/>
      <x:c r="D15" s="29"/>
      <x:c r="E15" s="29"/>
      <x:c r="F15" s="29" t="str">
        <x:f>IFERROR(100*(SUMIFS($C$5:$C$16,$A$5:$A$16,A15,$B$5:$B$16,"gurobi")-C15)/ABS(SUMIFS($C$5:$C$16,$A$5:$A$16,A15,$B$5:$B$16,"gurobi")),"")</x:f>
      </x:c>
      <x:c r="G15" s="29" t="str">
        <x:f>IFERROR(100*(SUMIFS($C$5:$C$16,$A$5:$A$16,A15,$B$5:$B$16,"gurobi")-D15)/ABS(SUMIFS($C$5:$C$16,$A$5:$A$16,A15,$B$5:$B$16,"gurobi")),"")</x:f>
      </x:c>
      <x:c r="H15" s="29"/>
      <x:c r="I15" s="29"/>
      <x:c r="J15" s="28" t="n">
        <x:v>5</x:v>
      </x:c>
      <x:c r="K15" s="28" t="n">
        <x:v>30</x:v>
      </x:c>
      <x:c r="L15" s="28"/>
      <x:c r="M15" s="29"/>
      <x:c r="N15" s="28"/>
      <x:c r="O15" s="28"/>
      <x:c r="P15" s="28"/>
      <x:c r="Q15" s="28"/>
      <x:c r="R15" s="28"/>
    </x:row>
    <x:row r="16">
      <x:c r="A16" s="28" t="str">
        <x:v>R_15S_30P_CODE</x:v>
      </x:c>
      <x:c r="B16" s="28" t="str">
        <x:v>gurobi</x:v>
      </x:c>
      <x:c r="C16" s="29"/>
      <x:c r="D16" s="29"/>
      <x:c r="E16" s="29"/>
      <x:c r="F16" s="29" t="str">
        <x:f>IFERROR(100*(SUMIFS($C$5:$C$16,$A$5:$A$16,A16,$B$5:$B$16,"gurobi")-C16)/ABS(SUMIFS($C$5:$C$16,$A$5:$A$16,A16,$B$5:$B$16,"gurobi")),"")</x:f>
      </x:c>
      <x:c r="G16" s="29" t="str">
        <x:f>IFERROR(100*(SUMIFS($C$5:$C$16,$A$5:$A$16,A16,$B$5:$B$16,"gurobi")-D16)/ABS(SUMIFS($C$5:$C$16,$A$5:$A$16,A16,$B$5:$B$16,"gurobi")),"")</x:f>
      </x:c>
      <x:c r="H16" s="29"/>
      <x:c r="I16" s="29"/>
      <x:c r="J16" s="28" t="n">
        <x:v>1</x:v>
      </x:c>
      <x:c r="K16" s="28" t="n">
        <x:v>1</x:v>
      </x:c>
      <x:c r="L16" s="28"/>
      <x:c r="M16" s="29"/>
      <x:c r="N16" s="28"/>
      <x:c r="O16" s="28"/>
      <x:c r="P16" s="28"/>
      <x:c r="Q16" s="28"/>
      <x:c r="R16" s="28"/>
    </x:row>
  </x:sheetData>
  <x:mergeCells>
    <x:mergeCell ref="A1:R1"/>
    <x:mergeCell ref="A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28" hidden="0" customWidth="1"/>
    <x:col min="3" max="3" width="7" hidden="0" customWidth="1"/>
    <x:col min="4" max="4" width="8.880000114440918" hidden="0" customWidth="1"/>
    <x:col min="5" max="5" width="9.880000114440918" hidden="0" customWidth="1"/>
    <x:col min="6" max="6" width="22" hidden="0" customWidth="1"/>
  </x:cols>
  <x:sheetData>
    <x:row r="1">
      <x:c r="A1" s="5" t="str">
        <x:v>CIPP Benchmark Summary</x:v>
      </x:c>
      <x:c r="B1" s="5"/>
      <x:c r="C1" s="5"/>
      <x:c r="D1" s="5"/>
      <x:c r="E1" s="5"/>
      <x:c r="F1" s="5"/>
    </x:row>
    <x:row r="3">
      <x:c r="A3" s="20" t="str">
        <x:v>Instance</x:v>
      </x:c>
      <x:c r="B3" s="20" t="str">
        <x:v>Best non-Gurobi method</x:v>
      </x:c>
      <x:c r="C3" s="20" t="str">
        <x:v>Best BFS</x:v>
      </x:c>
      <x:c r="D3" s="20" t="str">
        <x:v>Gurobi BFS</x:v>
      </x:c>
      <x:c r="E3" s="20" t="str">
        <x:v>Best gap (%)</x:v>
      </x:c>
      <x:c r="F3" s="20" t="str">
        <x:v>Reference status</x:v>
      </x:c>
    </x:row>
    <x:row r="4">
      <x:c r="A4" t="str">
        <x:v>D_15S_30P_CODE</x:v>
      </x:c>
      <x:c r="B4" t="str">
        <x:f>IF(C4="","",INDEX(Benchmark!$B$5:$B$16,MATCH(1,(Benchmark!$A$5:$A$16=A4)*(Benchmark!$C$5:$C$16=C4),0)))</x:f>
      </x:c>
      <x:c r="C4" s="26" t="str">
        <x:f>IF(COUNTIFS(Benchmark!$A$5:$A$16,A4,Benchmark!$B$5:$B$16,"&lt;&gt;gurobi",Benchmark!$C$5:$C$16,"&gt;0")=0,"",MAXIFS(Benchmark!$C$5:$C$16,Benchmark!$A$5:$A$16,A4,Benchmark!$B$5:$B$16,"&lt;&gt;gurobi"))</x:f>
      </x:c>
      <x:c r="D4" s="26" t="str">
        <x:f>IF(COUNTIFS(Benchmark!$A$5:$A$16,A4,Benchmark!$B$5:$B$16,"gurobi",Benchmark!$C$5:$C$16,"&gt;0")=0,"",SUMIFS(Benchmark!$C$5:$C$16,Benchmark!$A$5:$A$16,A4,Benchmark!$B$5:$B$16,"gurobi"))</x:f>
      </x:c>
      <x:c r="E4" s="26" t="str">
        <x:f>IF(OR(C4="",D4=""),"",100*(D4-C4)/ABS(D4))</x:f>
      </x:c>
      <x:c r="F4" t="str">
        <x:f>IF(D4="","",INDEX(Benchmark!$R$5:$R$16,MATCH(1,(Benchmark!$A$5:$A$16=A4)*(Benchmark!$B$5:$B$16="gurobi"),0)))</x:f>
      </x:c>
    </x:row>
    <x:row r="5">
      <x:c r="A5" t="str">
        <x:v>R_15S_30P_CODE</x:v>
      </x:c>
      <x:c r="B5" t="str">
        <x:f>IF(C5="","",INDEX(Benchmark!$B$5:$B$16,MATCH(1,(Benchmark!$A$5:$A$16=A5)*(Benchmark!$C$5:$C$16=C5),0)))</x:f>
      </x:c>
      <x:c r="C5" s="26" t="str">
        <x:f>IF(COUNTIFS(Benchmark!$A$5:$A$16,A5,Benchmark!$B$5:$B$16,"&lt;&gt;gurobi",Benchmark!$C$5:$C$16,"&gt;0")=0,"",MAXIFS(Benchmark!$C$5:$C$16,Benchmark!$A$5:$A$16,A5,Benchmark!$B$5:$B$16,"&lt;&gt;gurobi"))</x:f>
      </x:c>
      <x:c r="D5" s="26" t="str">
        <x:f>IF(COUNTIFS(Benchmark!$A$5:$A$16,A5,Benchmark!$B$5:$B$16,"gurobi",Benchmark!$C$5:$C$16,"&gt;0")=0,"",SUMIFS(Benchmark!$C$5:$C$16,Benchmark!$A$5:$A$16,A5,Benchmark!$B$5:$B$16,"gurobi"))</x:f>
      </x:c>
      <x:c r="E5" s="26" t="str">
        <x:f>IF(OR(C5="",D5=""),"",100*(D5-C5)/ABS(D5))</x:f>
      </x:c>
      <x:c r="F5" t="str">
        <x:f>IF(D5="","",INDEX(Benchmark!$R$5:$R$16,MATCH(1,(Benchmark!$A$5:$A$16=A5)*(Benchmark!$B$5:$B$16="gurobi"),0)))</x:f>
      </x:c>
    </x:row>
  </x:sheetData>
  <x:mergeCells>
    <x:mergeCell ref="A1:F1"/>
  </x:mergeCells>
  <x:pageMargins left="0.7" right="0.7" top="0.75" bottom="0.75" header="0.3" footer="0.3"/>
</x:worksheet>
</file>